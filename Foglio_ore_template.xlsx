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0" documentId="8_{C4A358DD-45E0-3241-9C9D-6874BB8C0028}" xr6:coauthVersionLast="47" xr6:coauthVersionMax="47" xr10:uidLastSave="{00000000-0000-0000-0000-000000000000}"/>
  <bookViews>
    <workbookView xWindow="1340" yWindow="3180" windowWidth="27380" windowHeight="17960" xr2:uid="{00000000-000D-0000-FFFF-FFFF00000000}"/>
  </bookViews>
  <sheets>
    <sheet name="Foglio Or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" i="4" l="1"/>
  <c r="D23" i="4" s="1"/>
  <c r="T16" i="4"/>
  <c r="Q43" i="4"/>
  <c r="Q32" i="4"/>
  <c r="O32" i="4"/>
  <c r="M32" i="4"/>
  <c r="K32" i="4"/>
  <c r="B25" i="4" s="1"/>
  <c r="D25" i="4" s="1"/>
  <c r="I32" i="4"/>
  <c r="G32" i="4"/>
  <c r="Q22" i="4"/>
  <c r="O22" i="4"/>
  <c r="M22" i="4"/>
  <c r="K22" i="4"/>
  <c r="I22" i="4"/>
  <c r="G22" i="4"/>
  <c r="L43" i="4"/>
  <c r="B21" i="4" s="1"/>
  <c r="G43" i="4"/>
  <c r="B19" i="4" s="1"/>
  <c r="Q12" i="4"/>
  <c r="G12" i="4"/>
  <c r="K12" i="4"/>
  <c r="O12" i="4"/>
  <c r="M12" i="4"/>
  <c r="I12" i="4"/>
  <c r="B18" i="4" l="1"/>
  <c r="D18" i="4" s="1"/>
  <c r="B20" i="4"/>
  <c r="D20" i="4" s="1"/>
  <c r="B22" i="4"/>
  <c r="D22" i="4" s="1"/>
  <c r="D24" i="4"/>
  <c r="B24" i="4"/>
  <c r="D30" i="4" l="1"/>
</calcChain>
</file>

<file path=xl/sharedStrings.xml><?xml version="1.0" encoding="utf-8"?>
<sst xmlns="http://schemas.openxmlformats.org/spreadsheetml/2006/main" count="108" uniqueCount="51">
  <si>
    <t>Firma:</t>
  </si>
  <si>
    <t xml:space="preserve">                    Netto da pagare</t>
  </si>
  <si>
    <t>N° ore</t>
  </si>
  <si>
    <t>Specifica</t>
  </si>
  <si>
    <t>Codice Fiscale</t>
  </si>
  <si>
    <t>Data di nascita</t>
  </si>
  <si>
    <t>n° ore</t>
  </si>
  <si>
    <t>data</t>
  </si>
  <si>
    <t>N° telefonico</t>
  </si>
  <si>
    <t>SABATO</t>
  </si>
  <si>
    <t>VENERDI'</t>
  </si>
  <si>
    <t>GIOVEDI'</t>
  </si>
  <si>
    <t>MERCOLEDI'</t>
  </si>
  <si>
    <t>MARTEDI'</t>
  </si>
  <si>
    <t>LUNEDI'</t>
  </si>
  <si>
    <t>Indirizzo</t>
  </si>
  <si>
    <t>Cognome e Nome</t>
  </si>
  <si>
    <t>MESE DI:</t>
  </si>
  <si>
    <t xml:space="preserve">SETTORE:      </t>
  </si>
  <si>
    <t xml:space="preserve">Ritenuta IRPEF 24,23% </t>
  </si>
  <si>
    <t>Data</t>
  </si>
  <si>
    <t>Istr. Sostituito</t>
  </si>
  <si>
    <t>n°ore</t>
  </si>
  <si>
    <t>Scuola</t>
  </si>
  <si>
    <t>CORSI BASE</t>
  </si>
  <si>
    <t>CORSI AVANZATI</t>
  </si>
  <si>
    <t>Remo &amp; Pagaia</t>
  </si>
  <si>
    <t>Corsi Base</t>
  </si>
  <si>
    <t>CANOTTAGGIO</t>
  </si>
  <si>
    <t>Euro/H</t>
  </si>
  <si>
    <t>Lez. Private</t>
  </si>
  <si>
    <t>Corsista</t>
  </si>
  <si>
    <t>TOTALE Lordo</t>
  </si>
  <si>
    <t>Sostituzioni C. Avanzati</t>
  </si>
  <si>
    <t>Sostituzioni C. Base</t>
  </si>
  <si>
    <t>Sost. Base</t>
  </si>
  <si>
    <t>Canott. Scuole</t>
  </si>
  <si>
    <t xml:space="preserve"> Canottaggio Scuole</t>
  </si>
  <si>
    <t>Agonismo</t>
  </si>
  <si>
    <t>AGONISMO</t>
  </si>
  <si>
    <t>Corsi Avanzati</t>
  </si>
  <si>
    <t>Sost. Avanzati</t>
  </si>
  <si>
    <t>N. Lez</t>
  </si>
  <si>
    <t>Euro</t>
  </si>
  <si>
    <t>Totale Attività</t>
  </si>
  <si>
    <t>Ciapparelli</t>
  </si>
  <si>
    <t>Matteo</t>
  </si>
  <si>
    <t>Via Alberto Mario 47</t>
  </si>
  <si>
    <t>cppmtt76a25d612b</t>
  </si>
  <si>
    <t>ANNO 2026/2027</t>
  </si>
  <si>
    <t>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</si>
</sst>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8"/>
      <name val="Calibri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20"/>
      <name val="Arial"/>
      <family val="2"/>
    </font>
    <font>
      <sz val="15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center"/>
    </xf>
    <xf numFmtId="0" fontId="3" fillId="0" borderId="5" xfId="1" applyFont="1" applyBorder="1"/>
    <xf numFmtId="0" fontId="4" fillId="0" borderId="1" xfId="1" applyFont="1" applyBorder="1"/>
    <xf numFmtId="0" fontId="8" fillId="0" borderId="0" xfId="1" applyFont="1"/>
    <xf numFmtId="0" fontId="6" fillId="0" borderId="0" xfId="1" applyFont="1"/>
    <xf numFmtId="0" fontId="2" fillId="0" borderId="7" xfId="1" applyFont="1" applyBorder="1"/>
    <xf numFmtId="0" fontId="3" fillId="0" borderId="10" xfId="1" applyFont="1" applyBorder="1"/>
    <xf numFmtId="0" fontId="2" fillId="0" borderId="11" xfId="1" applyFont="1" applyBorder="1"/>
    <xf numFmtId="0" fontId="3" fillId="0" borderId="12" xfId="1" applyFont="1" applyBorder="1"/>
    <xf numFmtId="0" fontId="2" fillId="0" borderId="13" xfId="1" applyFont="1" applyBorder="1"/>
    <xf numFmtId="0" fontId="2" fillId="0" borderId="13" xfId="1" applyFont="1" applyBorder="1" applyAlignment="1">
      <alignment horizontal="center"/>
    </xf>
    <xf numFmtId="0" fontId="2" fillId="0" borderId="13" xfId="1" applyFont="1" applyBorder="1" applyAlignment="1">
      <alignment horizontal="center" wrapText="1"/>
    </xf>
    <xf numFmtId="0" fontId="10" fillId="0" borderId="0" xfId="0" applyFont="1"/>
    <xf numFmtId="0" fontId="7" fillId="0" borderId="0" xfId="1" applyFont="1"/>
    <xf numFmtId="0" fontId="5" fillId="0" borderId="14" xfId="1" applyFont="1" applyBorder="1"/>
    <xf numFmtId="0" fontId="3" fillId="0" borderId="0" xfId="1" applyFont="1"/>
    <xf numFmtId="0" fontId="3" fillId="0" borderId="15" xfId="1" applyFont="1" applyBorder="1"/>
    <xf numFmtId="0" fontId="3" fillId="0" borderId="8" xfId="1" applyFont="1" applyBorder="1"/>
    <xf numFmtId="0" fontId="3" fillId="0" borderId="9" xfId="1" applyFont="1" applyBorder="1"/>
    <xf numFmtId="0" fontId="5" fillId="0" borderId="16" xfId="1" applyFont="1" applyBorder="1"/>
    <xf numFmtId="0" fontId="4" fillId="0" borderId="17" xfId="1" applyFont="1" applyBorder="1" applyAlignment="1">
      <alignment horizontal="center"/>
    </xf>
    <xf numFmtId="0" fontId="3" fillId="0" borderId="17" xfId="1" applyFont="1" applyBorder="1"/>
    <xf numFmtId="0" fontId="3" fillId="0" borderId="18" xfId="1" applyFont="1" applyBorder="1"/>
    <xf numFmtId="0" fontId="4" fillId="0" borderId="0" xfId="1" applyFont="1" applyAlignment="1">
      <alignment horizontal="left"/>
    </xf>
    <xf numFmtId="0" fontId="2" fillId="0" borderId="14" xfId="1" applyFont="1" applyBorder="1"/>
    <xf numFmtId="0" fontId="5" fillId="0" borderId="17" xfId="1" applyFont="1" applyBorder="1"/>
    <xf numFmtId="1" fontId="5" fillId="0" borderId="17" xfId="1" applyNumberFormat="1" applyFont="1" applyBorder="1"/>
    <xf numFmtId="49" fontId="5" fillId="0" borderId="16" xfId="1" applyNumberFormat="1" applyFont="1" applyBorder="1"/>
    <xf numFmtId="0" fontId="5" fillId="0" borderId="21" xfId="1" applyFont="1" applyBorder="1"/>
    <xf numFmtId="0" fontId="12" fillId="0" borderId="0" xfId="1" applyFont="1"/>
    <xf numFmtId="0" fontId="13" fillId="0" borderId="1" xfId="1" applyFont="1" applyBorder="1"/>
    <xf numFmtId="0" fontId="7" fillId="0" borderId="1" xfId="1" applyFont="1" applyBorder="1"/>
    <xf numFmtId="0" fontId="7" fillId="0" borderId="8" xfId="1" applyFont="1" applyBorder="1"/>
    <xf numFmtId="0" fontId="7" fillId="0" borderId="9" xfId="1" applyFont="1" applyBorder="1"/>
    <xf numFmtId="0" fontId="7" fillId="0" borderId="16" xfId="1" applyFont="1" applyBorder="1"/>
    <xf numFmtId="0" fontId="7" fillId="0" borderId="17" xfId="1" applyFont="1" applyBorder="1"/>
    <xf numFmtId="0" fontId="7" fillId="0" borderId="18" xfId="1" applyFont="1" applyBorder="1"/>
    <xf numFmtId="0" fontId="7" fillId="0" borderId="2" xfId="1" applyFont="1" applyBorder="1"/>
    <xf numFmtId="0" fontId="7" fillId="0" borderId="3" xfId="1" applyFont="1" applyBorder="1"/>
    <xf numFmtId="0" fontId="7" fillId="0" borderId="0" xfId="1" applyFont="1" applyAlignment="1">
      <alignment horizontal="center"/>
    </xf>
    <xf numFmtId="4" fontId="7" fillId="0" borderId="19" xfId="1" applyNumberFormat="1" applyFont="1" applyBorder="1" applyAlignment="1">
      <alignment horizontal="center"/>
    </xf>
    <xf numFmtId="4" fontId="2" fillId="0" borderId="0" xfId="1" applyNumberFormat="1" applyFont="1" applyAlignment="1">
      <alignment horizontal="center"/>
    </xf>
    <xf numFmtId="4" fontId="2" fillId="0" borderId="23" xfId="1" applyNumberFormat="1" applyFont="1" applyBorder="1" applyAlignment="1">
      <alignment horizontal="center"/>
    </xf>
    <xf numFmtId="0" fontId="7" fillId="0" borderId="7" xfId="1" applyFont="1" applyBorder="1"/>
    <xf numFmtId="0" fontId="7" fillId="0" borderId="14" xfId="1" applyFont="1" applyBorder="1"/>
    <xf numFmtId="0" fontId="2" fillId="0" borderId="21" xfId="1" applyFont="1" applyBorder="1"/>
    <xf numFmtId="0" fontId="2" fillId="0" borderId="16" xfId="1" applyFont="1" applyBorder="1"/>
    <xf numFmtId="2" fontId="7" fillId="0" borderId="19" xfId="1" applyNumberFormat="1" applyFont="1" applyBorder="1" applyAlignment="1">
      <alignment horizontal="center"/>
    </xf>
    <xf numFmtId="0" fontId="11" fillId="0" borderId="0" xfId="1" applyFont="1"/>
    <xf numFmtId="0" fontId="2" fillId="0" borderId="19" xfId="1" applyFont="1" applyBorder="1" applyAlignment="1">
      <alignment vertical="center"/>
    </xf>
    <xf numFmtId="1" fontId="2" fillId="0" borderId="19" xfId="1" applyNumberFormat="1" applyFont="1" applyBorder="1" applyAlignment="1">
      <alignment horizontal="center" vertical="center"/>
    </xf>
    <xf numFmtId="2" fontId="2" fillId="0" borderId="19" xfId="1" applyNumberFormat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1" fontId="7" fillId="0" borderId="19" xfId="1" applyNumberFormat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1" fontId="2" fillId="0" borderId="6" xfId="1" applyNumberFormat="1" applyFont="1" applyBorder="1" applyAlignment="1">
      <alignment horizontal="center" vertical="center"/>
    </xf>
    <xf numFmtId="2" fontId="2" fillId="0" borderId="20" xfId="1" applyNumberFormat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7" fillId="0" borderId="24" xfId="1" applyFont="1" applyBorder="1" applyAlignment="1">
      <alignment vertical="center"/>
    </xf>
    <xf numFmtId="0" fontId="7" fillId="0" borderId="26" xfId="1" applyFont="1" applyBorder="1" applyAlignment="1">
      <alignment vertical="center"/>
    </xf>
    <xf numFmtId="0" fontId="11" fillId="0" borderId="26" xfId="1" applyFont="1" applyBorder="1" applyAlignment="1">
      <alignment vertical="center"/>
    </xf>
    <xf numFmtId="0" fontId="7" fillId="0" borderId="25" xfId="1" applyFont="1" applyBorder="1" applyAlignment="1">
      <alignment vertical="center"/>
    </xf>
    <xf numFmtId="0" fontId="6" fillId="0" borderId="13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2" fontId="7" fillId="0" borderId="0" xfId="1" applyNumberFormat="1" applyFont="1" applyAlignment="1">
      <alignment vertical="center"/>
    </xf>
    <xf numFmtId="1" fontId="2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14" fontId="3" fillId="0" borderId="0" xfId="1" applyNumberFormat="1" applyFont="1"/>
    <xf numFmtId="16" fontId="2" fillId="0" borderId="19" xfId="1" applyNumberFormat="1" applyFont="1" applyBorder="1" applyAlignment="1">
      <alignment horizontal="center" vertical="center"/>
    </xf>
    <xf numFmtId="14" fontId="7" fillId="0" borderId="17" xfId="1" applyNumberFormat="1" applyFont="1" applyBorder="1"/>
    <xf numFmtId="4" fontId="7" fillId="0" borderId="29" xfId="1" applyNumberFormat="1" applyFont="1" applyBorder="1" applyAlignment="1">
      <alignment horizontal="center" vertical="center"/>
    </xf>
    <xf numFmtId="4" fontId="7" fillId="0" borderId="30" xfId="1" applyNumberFormat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4" fontId="5" fillId="0" borderId="16" xfId="1" applyNumberFormat="1" applyFont="1" applyBorder="1" applyAlignment="1">
      <alignment horizontal="left"/>
    </xf>
    <xf numFmtId="14" fontId="5" fillId="0" borderId="17" xfId="1" applyNumberFormat="1" applyFont="1" applyBorder="1" applyAlignment="1">
      <alignment horizontal="left"/>
    </xf>
    <xf numFmtId="14" fontId="2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36</xdr:row>
      <xdr:rowOff>50800</xdr:rowOff>
    </xdr:from>
    <xdr:to>
      <xdr:col>5</xdr:col>
      <xdr:colOff>190500</xdr:colOff>
      <xdr:row>41</xdr:row>
      <xdr:rowOff>25400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4C1E7A7-8F5B-C784-BD23-E17ED86D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6985000"/>
          <a:ext cx="336550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6"/>
  <sheetViews>
    <sheetView tabSelected="1" workbookViewId="0">
      <selection activeCell="I18" sqref="I18"/>
    </sheetView>
  </sheetViews>
  <sheetFormatPr baseColWidth="10" defaultColWidth="9.1640625" defaultRowHeight="13"/>
  <cols>
    <col min="1" max="1" width="15.6640625" style="15" customWidth="1"/>
    <col min="2" max="2" width="11.5" style="15" bestFit="1" customWidth="1"/>
    <col min="3" max="3" width="11.1640625" style="15" customWidth="1"/>
    <col min="4" max="4" width="15.5" style="15" customWidth="1"/>
    <col min="5" max="5" width="6.33203125" style="15" customWidth="1"/>
    <col min="6" max="11" width="9.1640625" style="15"/>
    <col min="12" max="12" width="10.1640625" style="15" bestFit="1" customWidth="1"/>
    <col min="13" max="14" width="9.1640625" style="15"/>
    <col min="15" max="15" width="9.5" style="15" customWidth="1"/>
    <col min="16" max="16" width="10.1640625" style="15" bestFit="1" customWidth="1"/>
    <col min="17" max="17" width="9.1640625" style="15"/>
    <col min="18" max="18" width="4.5" style="15" customWidth="1"/>
    <col min="19" max="20" width="9.1640625" style="15"/>
    <col min="21" max="21" width="11.33203125" style="15" customWidth="1"/>
    <col min="22" max="16384" width="9.1640625" style="15"/>
  </cols>
  <sheetData>
    <row r="1" spans="1:21" ht="25">
      <c r="A1" s="6" t="s">
        <v>49</v>
      </c>
      <c r="F1" s="5" t="s">
        <v>18</v>
      </c>
      <c r="G1" s="31"/>
      <c r="J1" s="5" t="s">
        <v>28</v>
      </c>
    </row>
    <row r="2" spans="1:21">
      <c r="O2" s="1"/>
      <c r="P2" s="86"/>
      <c r="Q2" s="87"/>
    </row>
    <row r="3" spans="1:21" ht="19">
      <c r="A3" s="1" t="s">
        <v>17</v>
      </c>
      <c r="B3" s="32" t="s">
        <v>50</v>
      </c>
      <c r="C3" s="33"/>
      <c r="D3" s="33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 spans="1:21" ht="18">
      <c r="A4" s="1"/>
      <c r="F4" s="64"/>
      <c r="G4" s="65"/>
      <c r="H4" s="65"/>
      <c r="I4" s="65"/>
      <c r="J4" s="65"/>
      <c r="K4" s="66" t="s">
        <v>24</v>
      </c>
      <c r="L4" s="65"/>
      <c r="M4" s="65"/>
      <c r="N4" s="65"/>
      <c r="O4" s="65"/>
      <c r="P4" s="65"/>
      <c r="Q4" s="67"/>
      <c r="R4" s="54"/>
      <c r="S4" s="79" t="s">
        <v>37</v>
      </c>
      <c r="T4" s="80"/>
      <c r="U4" s="81"/>
    </row>
    <row r="5" spans="1:21" ht="16">
      <c r="A5" s="7" t="s">
        <v>16</v>
      </c>
      <c r="B5" s="34" t="s">
        <v>45</v>
      </c>
      <c r="C5" s="34" t="s">
        <v>46</v>
      </c>
      <c r="D5" s="35"/>
      <c r="F5" s="82" t="s">
        <v>14</v>
      </c>
      <c r="G5" s="83"/>
      <c r="H5" s="82" t="s">
        <v>13</v>
      </c>
      <c r="I5" s="83"/>
      <c r="J5" s="82" t="s">
        <v>12</v>
      </c>
      <c r="K5" s="83"/>
      <c r="L5" s="88" t="s">
        <v>11</v>
      </c>
      <c r="M5" s="89"/>
      <c r="N5" s="82" t="s">
        <v>10</v>
      </c>
      <c r="O5" s="83"/>
      <c r="P5" s="82" t="s">
        <v>9</v>
      </c>
      <c r="Q5" s="83"/>
      <c r="R5" s="54"/>
      <c r="S5" s="63" t="s">
        <v>20</v>
      </c>
      <c r="T5" s="63" t="s">
        <v>6</v>
      </c>
      <c r="U5" s="63" t="s">
        <v>23</v>
      </c>
    </row>
    <row r="6" spans="1:21" ht="16">
      <c r="A6" s="30"/>
      <c r="B6" s="4"/>
      <c r="C6" s="2"/>
      <c r="D6" s="8"/>
      <c r="F6" s="68" t="s">
        <v>7</v>
      </c>
      <c r="G6" s="69" t="s">
        <v>6</v>
      </c>
      <c r="H6" s="69" t="s">
        <v>7</v>
      </c>
      <c r="I6" s="69" t="s">
        <v>6</v>
      </c>
      <c r="J6" s="69" t="s">
        <v>7</v>
      </c>
      <c r="K6" s="69" t="s">
        <v>6</v>
      </c>
      <c r="L6" s="70" t="s">
        <v>7</v>
      </c>
      <c r="M6" s="70" t="s">
        <v>6</v>
      </c>
      <c r="N6" s="69" t="s">
        <v>7</v>
      </c>
      <c r="O6" s="69" t="s">
        <v>6</v>
      </c>
      <c r="P6" s="69" t="s">
        <v>7</v>
      </c>
      <c r="Q6" s="69" t="s">
        <v>6</v>
      </c>
      <c r="R6" s="54"/>
      <c r="S6" s="52"/>
      <c r="T6" s="53"/>
      <c r="U6" s="56"/>
    </row>
    <row r="7" spans="1:21" ht="14.25" customHeight="1">
      <c r="A7" s="9" t="s">
        <v>15</v>
      </c>
      <c r="B7" s="3" t="s">
        <v>47</v>
      </c>
      <c r="C7" s="3"/>
      <c r="D7" s="10"/>
      <c r="F7" s="56"/>
      <c r="G7" s="53"/>
      <c r="H7" s="52"/>
      <c r="I7" s="53"/>
      <c r="J7" s="56"/>
      <c r="K7" s="53"/>
      <c r="L7" s="59"/>
      <c r="M7" s="60"/>
      <c r="N7" s="59"/>
      <c r="O7" s="60"/>
      <c r="P7" s="52"/>
      <c r="Q7" s="53"/>
      <c r="R7" s="54"/>
      <c r="S7" s="52"/>
      <c r="T7" s="53"/>
      <c r="U7" s="56"/>
    </row>
    <row r="8" spans="1:21" ht="14.25" customHeight="1">
      <c r="A8" s="16"/>
      <c r="B8" s="25"/>
      <c r="D8" s="18"/>
      <c r="F8" s="52"/>
      <c r="G8" s="53"/>
      <c r="H8" s="52"/>
      <c r="I8" s="53"/>
      <c r="J8" s="56"/>
      <c r="K8" s="53"/>
      <c r="L8" s="59"/>
      <c r="M8" s="60"/>
      <c r="N8" s="59"/>
      <c r="O8" s="60"/>
      <c r="P8" s="52"/>
      <c r="Q8" s="53"/>
      <c r="R8" s="54"/>
      <c r="S8" s="52"/>
      <c r="T8" s="53"/>
      <c r="U8" s="56"/>
    </row>
    <row r="9" spans="1:21" ht="14.25" customHeight="1">
      <c r="A9" s="7" t="s">
        <v>8</v>
      </c>
      <c r="B9" s="19">
        <v>3456521212</v>
      </c>
      <c r="C9" s="19"/>
      <c r="D9" s="20"/>
      <c r="F9" s="52"/>
      <c r="G9" s="53"/>
      <c r="H9" s="59"/>
      <c r="I9" s="62"/>
      <c r="J9" s="56"/>
      <c r="K9" s="53"/>
      <c r="L9" s="61"/>
      <c r="M9" s="60"/>
      <c r="N9" s="59"/>
      <c r="O9" s="60"/>
      <c r="P9" s="52"/>
      <c r="Q9" s="53"/>
      <c r="R9" s="54"/>
      <c r="S9" s="52"/>
      <c r="T9" s="53"/>
      <c r="U9" s="56"/>
    </row>
    <row r="10" spans="1:21" ht="14.25" customHeight="1">
      <c r="A10" s="29"/>
      <c r="B10" s="27"/>
      <c r="C10" s="28"/>
      <c r="D10" s="24"/>
      <c r="F10" s="52"/>
      <c r="G10" s="53"/>
      <c r="H10" s="59"/>
      <c r="I10" s="60"/>
      <c r="J10" s="56"/>
      <c r="K10" s="53"/>
      <c r="L10" s="59"/>
      <c r="M10" s="60"/>
      <c r="N10" s="59"/>
      <c r="O10" s="60"/>
      <c r="P10" s="52"/>
      <c r="Q10" s="53"/>
      <c r="R10" s="54"/>
      <c r="S10" s="52"/>
      <c r="T10" s="53"/>
      <c r="U10" s="56"/>
    </row>
    <row r="11" spans="1:21" ht="14.25" customHeight="1">
      <c r="A11" s="26" t="s">
        <v>5</v>
      </c>
      <c r="B11" s="74">
        <v>27784</v>
      </c>
      <c r="C11" s="17"/>
      <c r="D11" s="18"/>
      <c r="F11" s="52"/>
      <c r="G11" s="53"/>
      <c r="H11" s="59"/>
      <c r="I11" s="60"/>
      <c r="J11" s="52"/>
      <c r="K11" s="53"/>
      <c r="L11" s="59"/>
      <c r="M11" s="60"/>
      <c r="N11" s="59"/>
      <c r="O11" s="60"/>
      <c r="P11" s="52"/>
      <c r="Q11" s="53"/>
      <c r="R11" s="54"/>
      <c r="S11" s="52"/>
      <c r="T11" s="58"/>
      <c r="U11" s="58"/>
    </row>
    <row r="12" spans="1:21" ht="14.25" customHeight="1">
      <c r="A12" s="84"/>
      <c r="B12" s="85"/>
      <c r="C12" s="17"/>
      <c r="D12" s="18"/>
      <c r="F12" s="54"/>
      <c r="G12" s="71">
        <f>SUM(G7:G11)</f>
        <v>0</v>
      </c>
      <c r="H12" s="54"/>
      <c r="I12" s="71">
        <f>SUM(I7:I11)</f>
        <v>0</v>
      </c>
      <c r="J12" s="54"/>
      <c r="K12" s="71">
        <f>SUM(K7:K11)</f>
        <v>0</v>
      </c>
      <c r="L12" s="54"/>
      <c r="M12" s="71">
        <f>SUM(M7:M11)</f>
        <v>0</v>
      </c>
      <c r="N12" s="54"/>
      <c r="O12" s="71">
        <f>SUM(O7:O11)</f>
        <v>0</v>
      </c>
      <c r="P12" s="54"/>
      <c r="Q12" s="71">
        <f>SUM(Q7:Q11)</f>
        <v>0</v>
      </c>
      <c r="R12" s="54"/>
      <c r="S12" s="52"/>
      <c r="T12" s="58"/>
      <c r="U12" s="58"/>
    </row>
    <row r="13" spans="1:21" ht="14.25" customHeight="1">
      <c r="A13" s="7" t="s">
        <v>4</v>
      </c>
      <c r="B13" s="19" t="s">
        <v>48</v>
      </c>
      <c r="C13" s="19"/>
      <c r="D13" s="20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2"/>
      <c r="T13" s="58"/>
      <c r="U13" s="58"/>
    </row>
    <row r="14" spans="1:21" ht="18.75" customHeight="1">
      <c r="A14" s="21"/>
      <c r="B14" s="22"/>
      <c r="C14" s="23"/>
      <c r="D14" s="24"/>
      <c r="F14" s="64"/>
      <c r="G14" s="65"/>
      <c r="H14" s="65"/>
      <c r="I14" s="65"/>
      <c r="J14" s="65"/>
      <c r="K14" s="66" t="s">
        <v>25</v>
      </c>
      <c r="L14" s="65"/>
      <c r="M14" s="65"/>
      <c r="N14" s="65"/>
      <c r="O14" s="65"/>
      <c r="P14" s="65"/>
      <c r="Q14" s="67"/>
      <c r="R14" s="54"/>
      <c r="S14" s="52"/>
      <c r="T14" s="58"/>
      <c r="U14" s="58"/>
    </row>
    <row r="15" spans="1:21" ht="18" customHeight="1">
      <c r="A15" s="36"/>
      <c r="B15" s="37"/>
      <c r="C15" s="37"/>
      <c r="D15" s="38"/>
      <c r="F15" s="82" t="s">
        <v>14</v>
      </c>
      <c r="G15" s="83"/>
      <c r="H15" s="82" t="s">
        <v>13</v>
      </c>
      <c r="I15" s="83"/>
      <c r="J15" s="82" t="s">
        <v>12</v>
      </c>
      <c r="K15" s="83"/>
      <c r="L15" s="88" t="s">
        <v>11</v>
      </c>
      <c r="M15" s="89"/>
      <c r="N15" s="82" t="s">
        <v>10</v>
      </c>
      <c r="O15" s="83"/>
      <c r="P15" s="82" t="s">
        <v>9</v>
      </c>
      <c r="Q15" s="83"/>
      <c r="R15" s="54"/>
      <c r="S15" s="52"/>
      <c r="T15" s="58"/>
      <c r="U15" s="58"/>
    </row>
    <row r="16" spans="1:21" ht="15.5" customHeight="1">
      <c r="A16" s="11" t="s">
        <v>3</v>
      </c>
      <c r="B16" s="12" t="s">
        <v>2</v>
      </c>
      <c r="C16" s="12" t="s">
        <v>29</v>
      </c>
      <c r="D16" s="13" t="s">
        <v>44</v>
      </c>
      <c r="F16" s="68" t="s">
        <v>7</v>
      </c>
      <c r="G16" s="69" t="s">
        <v>6</v>
      </c>
      <c r="H16" s="69" t="s">
        <v>7</v>
      </c>
      <c r="I16" s="69" t="s">
        <v>6</v>
      </c>
      <c r="J16" s="69" t="s">
        <v>7</v>
      </c>
      <c r="K16" s="69" t="s">
        <v>6</v>
      </c>
      <c r="L16" s="70" t="s">
        <v>7</v>
      </c>
      <c r="M16" s="70" t="s">
        <v>6</v>
      </c>
      <c r="N16" s="69" t="s">
        <v>7</v>
      </c>
      <c r="O16" s="69" t="s">
        <v>6</v>
      </c>
      <c r="P16" s="69" t="s">
        <v>7</v>
      </c>
      <c r="Q16" s="69" t="s">
        <v>6</v>
      </c>
      <c r="R16" s="54"/>
      <c r="S16" s="54"/>
      <c r="T16" s="71">
        <f>SUM(T6:T15)</f>
        <v>0</v>
      </c>
      <c r="U16" s="54"/>
    </row>
    <row r="17" spans="1:22" ht="14.25" customHeight="1">
      <c r="A17" s="39"/>
      <c r="D17" s="40"/>
      <c r="F17" s="75">
        <v>46209</v>
      </c>
      <c r="G17" s="53">
        <v>2</v>
      </c>
      <c r="H17" s="75">
        <v>46224</v>
      </c>
      <c r="I17" s="53">
        <v>3</v>
      </c>
      <c r="J17" s="75">
        <v>46204</v>
      </c>
      <c r="K17" s="53">
        <v>1</v>
      </c>
      <c r="L17" s="75">
        <v>46219</v>
      </c>
      <c r="M17" s="60">
        <v>3</v>
      </c>
      <c r="N17" s="75">
        <v>46206</v>
      </c>
      <c r="O17" s="60">
        <v>1</v>
      </c>
      <c r="P17" s="52"/>
      <c r="Q17" s="53"/>
      <c r="R17" s="54"/>
      <c r="S17" s="72"/>
      <c r="T17" s="73"/>
      <c r="U17" s="73"/>
    </row>
    <row r="18" spans="1:22" ht="14.25" customHeight="1">
      <c r="A18" s="51" t="s">
        <v>27</v>
      </c>
      <c r="B18" s="42">
        <f>G12+I12+K12+M12+O12+Q12</f>
        <v>0</v>
      </c>
      <c r="C18" s="77">
        <v>14</v>
      </c>
      <c r="D18" s="77">
        <f>(B18+B19)*C18</f>
        <v>0</v>
      </c>
      <c r="E18" s="41"/>
      <c r="F18" s="75">
        <v>46216</v>
      </c>
      <c r="G18" s="53">
        <v>2</v>
      </c>
      <c r="H18" s="52"/>
      <c r="I18" s="53"/>
      <c r="J18" s="75">
        <v>46218</v>
      </c>
      <c r="K18" s="53">
        <v>1</v>
      </c>
      <c r="L18" s="59"/>
      <c r="M18" s="60"/>
      <c r="N18" s="75">
        <v>46220</v>
      </c>
      <c r="O18" s="60">
        <v>1</v>
      </c>
      <c r="P18" s="52"/>
      <c r="Q18" s="53"/>
      <c r="R18" s="54"/>
      <c r="S18" s="82" t="s">
        <v>30</v>
      </c>
      <c r="T18" s="92"/>
      <c r="U18" s="83"/>
    </row>
    <row r="19" spans="1:22" ht="14.25" customHeight="1">
      <c r="A19" s="51" t="s">
        <v>35</v>
      </c>
      <c r="B19" s="42">
        <f>G43</f>
        <v>0</v>
      </c>
      <c r="C19" s="78"/>
      <c r="D19" s="78"/>
      <c r="F19" s="75">
        <v>46223</v>
      </c>
      <c r="G19" s="53">
        <v>2</v>
      </c>
      <c r="H19" s="59"/>
      <c r="I19" s="53"/>
      <c r="J19" s="75">
        <v>46225</v>
      </c>
      <c r="K19" s="53">
        <v>1</v>
      </c>
      <c r="L19" s="61"/>
      <c r="M19" s="60"/>
      <c r="N19" s="75">
        <v>46227</v>
      </c>
      <c r="O19" s="60">
        <v>1</v>
      </c>
      <c r="P19" s="52"/>
      <c r="Q19" s="53"/>
      <c r="R19" s="54"/>
      <c r="S19" s="63" t="s">
        <v>42</v>
      </c>
      <c r="T19" s="63" t="s">
        <v>43</v>
      </c>
      <c r="U19" s="63" t="s">
        <v>31</v>
      </c>
    </row>
    <row r="20" spans="1:22" ht="14.25" customHeight="1">
      <c r="A20" s="51" t="s">
        <v>40</v>
      </c>
      <c r="B20" s="42">
        <f>G22+I22+K22+M22+O22+Q22</f>
        <v>19</v>
      </c>
      <c r="C20" s="77">
        <v>0</v>
      </c>
      <c r="D20" s="77">
        <f>(B20+B21)*C20</f>
        <v>285</v>
      </c>
      <c r="F20" s="75"/>
      <c r="G20" s="53"/>
      <c r="H20" s="59"/>
      <c r="I20" s="53"/>
      <c r="J20" s="75">
        <v>46202</v>
      </c>
      <c r="K20" s="53">
        <v>1</v>
      </c>
      <c r="L20" s="59"/>
      <c r="M20" s="60"/>
      <c r="N20" s="75"/>
      <c r="O20" s="60"/>
      <c r="P20" s="52"/>
      <c r="Q20" s="53"/>
      <c r="R20" s="54"/>
      <c r="S20" s="56"/>
      <c r="T20" s="53"/>
      <c r="U20" s="58"/>
    </row>
    <row r="21" spans="1:22" ht="13.75" customHeight="1">
      <c r="A21" s="51" t="s">
        <v>41</v>
      </c>
      <c r="B21" s="42">
        <f>L43</f>
        <v>0</v>
      </c>
      <c r="C21" s="78"/>
      <c r="D21" s="78"/>
      <c r="F21" s="75"/>
      <c r="G21" s="53"/>
      <c r="H21" s="59"/>
      <c r="I21" s="53"/>
      <c r="J21" s="75"/>
      <c r="K21" s="53"/>
      <c r="L21" s="59"/>
      <c r="M21" s="60"/>
      <c r="N21" s="75"/>
      <c r="O21" s="60"/>
      <c r="P21" s="52"/>
      <c r="Q21" s="53"/>
      <c r="R21" s="54"/>
      <c r="S21" s="56"/>
      <c r="T21" s="53"/>
      <c r="U21" s="58"/>
      <c r="V21" s="50"/>
    </row>
    <row r="22" spans="1:22" ht="16">
      <c r="A22" s="51" t="s">
        <v>26</v>
      </c>
      <c r="B22" s="42">
        <f>Q43</f>
        <v>0</v>
      </c>
      <c r="C22" s="42">
        <v>14</v>
      </c>
      <c r="D22" s="42">
        <f>C22*B22</f>
        <v>0</v>
      </c>
      <c r="F22" s="54"/>
      <c r="G22" s="71">
        <f>SUM(G17:G21)</f>
        <v>6</v>
      </c>
      <c r="H22" s="54"/>
      <c r="I22" s="71">
        <f>SUM(I17:I21)</f>
        <v>3</v>
      </c>
      <c r="J22" s="54"/>
      <c r="K22" s="71">
        <f>SUM(K17:K21)</f>
        <v>4</v>
      </c>
      <c r="L22" s="54"/>
      <c r="M22" s="71">
        <f>SUM(M17:M21)</f>
        <v>3</v>
      </c>
      <c r="N22" s="54"/>
      <c r="O22" s="71">
        <f>SUM(O17:O21)</f>
        <v>3</v>
      </c>
      <c r="P22" s="54"/>
      <c r="Q22" s="71">
        <f>SUM(Q17:Q21)</f>
        <v>0</v>
      </c>
      <c r="R22" s="54"/>
      <c r="S22" s="56"/>
      <c r="T22" s="53"/>
      <c r="U22" s="58"/>
      <c r="V22" s="6"/>
    </row>
    <row r="23" spans="1:22">
      <c r="A23" s="51" t="s">
        <v>30</v>
      </c>
      <c r="B23" s="42"/>
      <c r="C23" s="42"/>
      <c r="D23" s="42">
        <f>T32</f>
        <v>0</v>
      </c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6"/>
      <c r="T23" s="53"/>
      <c r="U23" s="58"/>
    </row>
    <row r="24" spans="1:22" ht="18">
      <c r="A24" s="51" t="s">
        <v>36</v>
      </c>
      <c r="B24" s="49">
        <f>T16</f>
        <v>0</v>
      </c>
      <c r="C24" s="42">
        <v>14</v>
      </c>
      <c r="D24" s="42">
        <f>C24*B24</f>
        <v>0</v>
      </c>
      <c r="F24" s="64"/>
      <c r="G24" s="65"/>
      <c r="H24" s="65"/>
      <c r="I24" s="65"/>
      <c r="J24" s="65"/>
      <c r="K24" s="66" t="s">
        <v>39</v>
      </c>
      <c r="L24" s="65"/>
      <c r="M24" s="65"/>
      <c r="N24" s="65"/>
      <c r="O24" s="65"/>
      <c r="P24" s="65"/>
      <c r="Q24" s="67"/>
      <c r="R24" s="54"/>
      <c r="S24" s="58"/>
      <c r="T24" s="53"/>
      <c r="U24" s="58"/>
    </row>
    <row r="25" spans="1:22" ht="18" customHeight="1">
      <c r="A25" s="51" t="s">
        <v>38</v>
      </c>
      <c r="B25" s="49">
        <f>SUM(G32:Q32)</f>
        <v>0</v>
      </c>
      <c r="C25" s="42">
        <v>14</v>
      </c>
      <c r="D25" s="42">
        <f>C25*B25</f>
        <v>0</v>
      </c>
      <c r="F25" s="82" t="s">
        <v>14</v>
      </c>
      <c r="G25" s="83"/>
      <c r="H25" s="82" t="s">
        <v>13</v>
      </c>
      <c r="I25" s="83"/>
      <c r="J25" s="82" t="s">
        <v>12</v>
      </c>
      <c r="K25" s="83"/>
      <c r="L25" s="88" t="s">
        <v>11</v>
      </c>
      <c r="M25" s="89"/>
      <c r="N25" s="82" t="s">
        <v>10</v>
      </c>
      <c r="O25" s="83"/>
      <c r="P25" s="82" t="s">
        <v>9</v>
      </c>
      <c r="Q25" s="83"/>
      <c r="R25" s="54"/>
      <c r="S25" s="58"/>
      <c r="T25" s="53"/>
      <c r="U25" s="58"/>
    </row>
    <row r="26" spans="1:22" ht="16">
      <c r="A26" s="46"/>
      <c r="F26" s="68" t="s">
        <v>7</v>
      </c>
      <c r="G26" s="69" t="s">
        <v>6</v>
      </c>
      <c r="H26" s="69" t="s">
        <v>7</v>
      </c>
      <c r="I26" s="69" t="s">
        <v>6</v>
      </c>
      <c r="J26" s="69" t="s">
        <v>7</v>
      </c>
      <c r="K26" s="69" t="s">
        <v>6</v>
      </c>
      <c r="L26" s="70" t="s">
        <v>7</v>
      </c>
      <c r="M26" s="70" t="s">
        <v>6</v>
      </c>
      <c r="N26" s="69" t="s">
        <v>7</v>
      </c>
      <c r="O26" s="69" t="s">
        <v>6</v>
      </c>
      <c r="P26" s="69" t="s">
        <v>7</v>
      </c>
      <c r="Q26" s="69" t="s">
        <v>6</v>
      </c>
      <c r="R26" s="54"/>
      <c r="S26" s="58"/>
      <c r="T26" s="53"/>
      <c r="U26" s="58"/>
    </row>
    <row r="27" spans="1:22">
      <c r="A27" s="46"/>
      <c r="B27" s="1" t="s">
        <v>32</v>
      </c>
      <c r="C27" s="1"/>
      <c r="D27" s="42"/>
      <c r="F27" s="75"/>
      <c r="G27" s="53"/>
      <c r="H27" s="52"/>
      <c r="I27" s="53"/>
      <c r="J27" s="75"/>
      <c r="K27" s="53"/>
      <c r="L27" s="59"/>
      <c r="M27" s="60"/>
      <c r="N27" s="59"/>
      <c r="O27" s="60"/>
      <c r="P27" s="52"/>
      <c r="Q27" s="53"/>
      <c r="R27" s="54"/>
      <c r="S27" s="58"/>
      <c r="T27" s="53"/>
      <c r="U27" s="58"/>
    </row>
    <row r="28" spans="1:22">
      <c r="A28" s="26"/>
      <c r="B28" s="1" t="s">
        <v>19</v>
      </c>
      <c r="C28" s="1"/>
      <c r="D28" s="42"/>
      <c r="F28" s="52"/>
      <c r="G28" s="53"/>
      <c r="H28" s="52"/>
      <c r="I28" s="53"/>
      <c r="J28" s="56"/>
      <c r="K28" s="53"/>
      <c r="L28" s="59"/>
      <c r="M28" s="60"/>
      <c r="N28" s="59"/>
      <c r="O28" s="60"/>
      <c r="P28" s="52"/>
      <c r="Q28" s="53"/>
      <c r="R28" s="54"/>
      <c r="S28" s="58"/>
      <c r="T28" s="53"/>
      <c r="U28" s="58"/>
    </row>
    <row r="29" spans="1:22">
      <c r="A29" s="46"/>
      <c r="C29" s="41"/>
      <c r="D29" s="42"/>
      <c r="F29" s="52"/>
      <c r="G29" s="53"/>
      <c r="H29" s="59"/>
      <c r="I29" s="53"/>
      <c r="J29" s="56"/>
      <c r="K29" s="53"/>
      <c r="L29" s="61"/>
      <c r="M29" s="60"/>
      <c r="N29" s="59"/>
      <c r="O29" s="60"/>
      <c r="P29" s="52"/>
      <c r="Q29" s="53"/>
      <c r="R29" s="54"/>
      <c r="S29" s="58"/>
      <c r="T29" s="53"/>
      <c r="U29" s="58"/>
    </row>
    <row r="30" spans="1:22" ht="14" thickBot="1">
      <c r="A30" s="26" t="s">
        <v>1</v>
      </c>
      <c r="C30" s="1"/>
      <c r="D30" s="44">
        <f>SUM(D18:D24)</f>
        <v>285</v>
      </c>
      <c r="F30" s="52"/>
      <c r="G30" s="53"/>
      <c r="H30" s="59"/>
      <c r="I30" s="53"/>
      <c r="J30" s="56"/>
      <c r="K30" s="53"/>
      <c r="L30" s="59"/>
      <c r="M30" s="60"/>
      <c r="N30" s="59"/>
      <c r="O30" s="60"/>
      <c r="P30" s="52"/>
      <c r="Q30" s="53"/>
      <c r="R30" s="54"/>
      <c r="S30" s="58"/>
      <c r="T30" s="53"/>
      <c r="U30" s="58"/>
    </row>
    <row r="31" spans="1:22" ht="14" thickTop="1">
      <c r="A31" s="26"/>
      <c r="C31" s="1"/>
      <c r="D31" s="43"/>
      <c r="F31" s="52"/>
      <c r="G31" s="53"/>
      <c r="H31" s="59"/>
      <c r="I31" s="53"/>
      <c r="J31" s="52"/>
      <c r="K31" s="53"/>
      <c r="L31" s="59"/>
      <c r="M31" s="60"/>
      <c r="N31" s="59"/>
      <c r="O31" s="60"/>
      <c r="P31" s="52"/>
      <c r="Q31" s="53"/>
      <c r="R31" s="54"/>
      <c r="S31" s="58"/>
      <c r="T31" s="58"/>
      <c r="U31" s="58"/>
    </row>
    <row r="32" spans="1:22">
      <c r="A32" s="26"/>
      <c r="C32" s="43"/>
      <c r="D32" s="43"/>
      <c r="F32" s="54"/>
      <c r="G32" s="71">
        <f>SUM(G27:G31)</f>
        <v>0</v>
      </c>
      <c r="H32" s="54"/>
      <c r="I32" s="71">
        <f>SUM(I27:I31)</f>
        <v>0</v>
      </c>
      <c r="J32" s="54"/>
      <c r="K32" s="71">
        <f>SUM(K27:K31)</f>
        <v>0</v>
      </c>
      <c r="L32" s="54"/>
      <c r="M32" s="71">
        <f>SUM(M27:M31)</f>
        <v>0</v>
      </c>
      <c r="N32" s="54"/>
      <c r="O32" s="71">
        <f>SUM(O27:O31)</f>
        <v>0</v>
      </c>
      <c r="P32" s="54"/>
      <c r="Q32" s="71">
        <f>SUM(Q27:Q31)</f>
        <v>0</v>
      </c>
      <c r="R32" s="54"/>
      <c r="S32" s="54"/>
      <c r="T32" s="71">
        <f>SUM(T20:T31)</f>
        <v>0</v>
      </c>
      <c r="U32" s="54"/>
    </row>
    <row r="33" spans="1:21">
      <c r="A33" s="48" t="s">
        <v>20</v>
      </c>
      <c r="B33" s="76">
        <v>46201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1" ht="18" customHeight="1">
      <c r="A34" s="45"/>
      <c r="F34" s="79" t="s">
        <v>34</v>
      </c>
      <c r="G34" s="80"/>
      <c r="H34" s="80"/>
      <c r="I34" s="81"/>
      <c r="J34" s="54"/>
      <c r="K34" s="79" t="s">
        <v>33</v>
      </c>
      <c r="L34" s="80"/>
      <c r="M34" s="80"/>
      <c r="N34" s="81"/>
      <c r="O34" s="54"/>
      <c r="P34" s="79" t="s">
        <v>26</v>
      </c>
      <c r="Q34" s="80"/>
      <c r="R34" s="80"/>
      <c r="S34" s="81"/>
      <c r="T34" s="54"/>
      <c r="U34" s="54"/>
    </row>
    <row r="35" spans="1:21" ht="16">
      <c r="A35" s="46"/>
      <c r="F35" s="63" t="s">
        <v>20</v>
      </c>
      <c r="G35" s="63" t="s">
        <v>6</v>
      </c>
      <c r="H35" s="82" t="s">
        <v>21</v>
      </c>
      <c r="I35" s="83"/>
      <c r="J35" s="54"/>
      <c r="K35" s="63" t="s">
        <v>20</v>
      </c>
      <c r="L35" s="63" t="s">
        <v>6</v>
      </c>
      <c r="M35" s="82" t="s">
        <v>21</v>
      </c>
      <c r="N35" s="83"/>
      <c r="O35" s="54"/>
      <c r="P35" s="63" t="s">
        <v>20</v>
      </c>
      <c r="Q35" s="63" t="s">
        <v>22</v>
      </c>
      <c r="R35" s="82" t="s">
        <v>23</v>
      </c>
      <c r="S35" s="83"/>
      <c r="T35" s="54"/>
      <c r="U35" s="54"/>
    </row>
    <row r="36" spans="1:21">
      <c r="A36" s="47" t="s">
        <v>0</v>
      </c>
      <c r="B36" s="33"/>
      <c r="C36" s="33"/>
      <c r="D36" s="33"/>
      <c r="F36" s="52"/>
      <c r="G36" s="53"/>
      <c r="H36" s="90"/>
      <c r="I36" s="91"/>
      <c r="J36" s="55"/>
      <c r="K36" s="52"/>
      <c r="L36" s="53"/>
      <c r="M36" s="90"/>
      <c r="N36" s="91"/>
      <c r="O36" s="55"/>
      <c r="P36" s="56"/>
      <c r="Q36" s="53"/>
      <c r="R36" s="90"/>
      <c r="S36" s="91"/>
      <c r="T36" s="54"/>
      <c r="U36" s="54"/>
    </row>
    <row r="37" spans="1:21">
      <c r="F37" s="52"/>
      <c r="G37" s="53"/>
      <c r="H37" s="90"/>
      <c r="I37" s="91"/>
      <c r="J37" s="55"/>
      <c r="K37" s="52"/>
      <c r="L37" s="53"/>
      <c r="M37" s="90"/>
      <c r="N37" s="91"/>
      <c r="O37" s="55"/>
      <c r="P37" s="56"/>
      <c r="Q37" s="53"/>
      <c r="R37" s="90"/>
      <c r="S37" s="91"/>
      <c r="T37" s="54"/>
      <c r="U37" s="54"/>
    </row>
    <row r="38" spans="1:21">
      <c r="A38" s="14"/>
      <c r="F38" s="52"/>
      <c r="G38" s="53"/>
      <c r="H38" s="90"/>
      <c r="I38" s="91"/>
      <c r="J38" s="55"/>
      <c r="K38" s="52"/>
      <c r="L38" s="53"/>
      <c r="M38" s="90"/>
      <c r="N38" s="91"/>
      <c r="O38" s="55"/>
      <c r="P38" s="56"/>
      <c r="Q38" s="53"/>
      <c r="R38" s="90"/>
      <c r="S38" s="91"/>
      <c r="T38" s="54"/>
      <c r="U38" s="54"/>
    </row>
    <row r="39" spans="1:21">
      <c r="A39" s="14"/>
      <c r="F39" s="52"/>
      <c r="G39" s="53"/>
      <c r="H39" s="90"/>
      <c r="I39" s="91"/>
      <c r="J39" s="55"/>
      <c r="K39" s="52"/>
      <c r="L39" s="53"/>
      <c r="M39" s="90"/>
      <c r="N39" s="91"/>
      <c r="O39" s="55"/>
      <c r="P39" s="56"/>
      <c r="Q39" s="53"/>
      <c r="R39" s="90"/>
      <c r="S39" s="91"/>
      <c r="T39" s="54"/>
      <c r="U39" s="54"/>
    </row>
    <row r="40" spans="1:21">
      <c r="F40" s="57"/>
      <c r="G40" s="53"/>
      <c r="H40" s="90"/>
      <c r="I40" s="91"/>
      <c r="J40" s="55"/>
      <c r="K40" s="58"/>
      <c r="L40" s="58"/>
      <c r="M40" s="90"/>
      <c r="N40" s="91"/>
      <c r="O40" s="55"/>
      <c r="P40" s="58"/>
      <c r="Q40" s="53"/>
      <c r="R40" s="90"/>
      <c r="S40" s="91"/>
      <c r="T40" s="54"/>
      <c r="U40" s="54"/>
    </row>
    <row r="41" spans="1:21">
      <c r="F41" s="58"/>
      <c r="G41" s="58"/>
      <c r="H41" s="90"/>
      <c r="I41" s="91"/>
      <c r="J41" s="55"/>
      <c r="K41" s="58"/>
      <c r="L41" s="58"/>
      <c r="M41" s="90"/>
      <c r="N41" s="91"/>
      <c r="O41" s="55"/>
      <c r="P41" s="58"/>
      <c r="Q41" s="53"/>
      <c r="R41" s="90"/>
      <c r="S41" s="91"/>
      <c r="T41" s="54"/>
      <c r="U41" s="54"/>
    </row>
    <row r="42" spans="1:21">
      <c r="F42" s="58"/>
      <c r="G42" s="58"/>
      <c r="H42" s="90"/>
      <c r="I42" s="91"/>
      <c r="J42" s="55"/>
      <c r="K42" s="57"/>
      <c r="L42" s="53"/>
      <c r="M42" s="90"/>
      <c r="N42" s="91"/>
      <c r="O42" s="55"/>
      <c r="P42" s="58"/>
      <c r="Q42" s="53"/>
      <c r="R42" s="90"/>
      <c r="S42" s="91"/>
      <c r="T42" s="54"/>
      <c r="U42" s="54"/>
    </row>
    <row r="43" spans="1:21">
      <c r="F43" s="54"/>
      <c r="G43" s="71">
        <f>SUM(G36:G40)</f>
        <v>0</v>
      </c>
      <c r="H43" s="55"/>
      <c r="I43" s="55"/>
      <c r="J43" s="54"/>
      <c r="K43" s="54"/>
      <c r="L43" s="71">
        <f>SUM(L36:L42)</f>
        <v>0</v>
      </c>
      <c r="M43" s="54"/>
      <c r="N43" s="54"/>
      <c r="O43" s="54"/>
      <c r="P43" s="54"/>
      <c r="Q43" s="71">
        <f>SUM(Q36:Q42)</f>
        <v>0</v>
      </c>
      <c r="R43" s="54"/>
      <c r="S43" s="54"/>
      <c r="T43" s="54"/>
      <c r="U43" s="54"/>
    </row>
    <row r="44" spans="1:21"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1:21"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 spans="1:21"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</sheetData>
  <mergeCells count="53">
    <mergeCell ref="R36:S36"/>
    <mergeCell ref="R40:S40"/>
    <mergeCell ref="R41:S41"/>
    <mergeCell ref="S18:U18"/>
    <mergeCell ref="F34:I34"/>
    <mergeCell ref="K34:N34"/>
    <mergeCell ref="P34:S34"/>
    <mergeCell ref="R35:S35"/>
    <mergeCell ref="M35:N35"/>
    <mergeCell ref="H35:I35"/>
    <mergeCell ref="F25:G25"/>
    <mergeCell ref="H25:I25"/>
    <mergeCell ref="J25:K25"/>
    <mergeCell ref="L25:M25"/>
    <mergeCell ref="N25:O25"/>
    <mergeCell ref="P25:Q25"/>
    <mergeCell ref="R42:S42"/>
    <mergeCell ref="R37:S37"/>
    <mergeCell ref="R38:S38"/>
    <mergeCell ref="R39:S39"/>
    <mergeCell ref="M38:N38"/>
    <mergeCell ref="M39:N39"/>
    <mergeCell ref="M40:N40"/>
    <mergeCell ref="M41:N41"/>
    <mergeCell ref="H42:I42"/>
    <mergeCell ref="M42:N42"/>
    <mergeCell ref="H37:I37"/>
    <mergeCell ref="M37:N37"/>
    <mergeCell ref="F15:G15"/>
    <mergeCell ref="H15:I15"/>
    <mergeCell ref="J15:K15"/>
    <mergeCell ref="L15:M15"/>
    <mergeCell ref="N15:O15"/>
    <mergeCell ref="H41:I41"/>
    <mergeCell ref="H36:I36"/>
    <mergeCell ref="M36:N36"/>
    <mergeCell ref="H38:I38"/>
    <mergeCell ref="H39:I39"/>
    <mergeCell ref="H40:I40"/>
    <mergeCell ref="A12:B12"/>
    <mergeCell ref="P2:Q2"/>
    <mergeCell ref="F5:G5"/>
    <mergeCell ref="H5:I5"/>
    <mergeCell ref="J5:K5"/>
    <mergeCell ref="L5:M5"/>
    <mergeCell ref="N5:O5"/>
    <mergeCell ref="P5:Q5"/>
    <mergeCell ref="C18:C19"/>
    <mergeCell ref="D18:D19"/>
    <mergeCell ref="C20:C21"/>
    <mergeCell ref="D20:D21"/>
    <mergeCell ref="S4:U4"/>
    <mergeCell ref="P15:Q15"/>
  </mergeCells>
  <phoneticPr fontId="9" type="noConversion"/>
  <printOptions horizontalCentered="1" verticalCentered="1"/>
  <pageMargins left="0.14000000000000001" right="0.19685039370078741" top="0.74803149606299213" bottom="0.5" header="0.31496062992125984" footer="0.22"/>
  <pageSetup paperSize="9" scale="70" pageOrder="overThenDown" orientation="landscape" r:id="rId1"/>
  <ignoredErrors>
    <ignoredError sqref="D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2017-02-28T07:26:49Z</cp:lastPrinted>
  <dcterms:created xsi:type="dcterms:W3CDTF">2006-09-25T09:17:32Z</dcterms:created>
  <dcterms:modified xsi:type="dcterms:W3CDTF">2026-07-27T16:42:13Z</dcterms:modified>
</cp:coreProperties>
</file>